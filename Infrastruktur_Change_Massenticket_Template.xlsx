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pic_Intake" sheetId="1" state="visible" r:id="rId1"/>
    <sheet xmlns:r="http://schemas.openxmlformats.org/officeDocument/2006/relationships" name="2_Bulk_Issues_Daten" sheetId="2" state="visible" r:id="rId2"/>
    <sheet xmlns:r="http://schemas.openxmlformats.org/officeDocument/2006/relationships" name="3_Steuerung_KPIs" sheetId="3" state="visible" r:id="rId3"/>
    <sheet xmlns:r="http://schemas.openxmlformats.org/officeDocument/2006/relationships" name="4_Feldmapping_Sch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4F8"/>
        <bgColor rgb="00F2F4F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2" fillId="2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Ticket-Verteilung nach Routing &amp; Kritikalität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'3_Steuerung_KPIs'!B3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'3_Steuerung_KPIs'!$A$4:$A$8</f>
            </numRef>
          </cat>
          <val>
            <numRef>
              <f>'3_Steuerung_KPIs'!$B$4:$B$8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 Issues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5" customWidth="1" min="3" max="3"/>
    <col width="55" customWidth="1" min="4" max="4"/>
  </cols>
  <sheetData>
    <row r="1">
      <c r="A1" s="1" t="inlineStr">
        <is>
          <t>Infrastruktur-Change Intake (Epic-Definition im Projekt INFRARCH)</t>
        </is>
      </c>
    </row>
    <row r="3">
      <c r="A3" s="2" t="inlineStr">
        <is>
          <t>Feldname (Fachlich)</t>
        </is>
      </c>
      <c r="B3" s="2" t="inlineStr">
        <is>
          <t>Jira-Feld / Technischer Key</t>
        </is>
      </c>
      <c r="C3" s="2" t="inlineStr">
        <is>
          <t>Wert für aktuellen Change / PoC</t>
        </is>
      </c>
      <c r="D3" s="2" t="inlineStr">
        <is>
          <t>Beschreibung / Ausfüllhilfe</t>
        </is>
      </c>
    </row>
    <row r="4">
      <c r="A4" s="3" t="inlineStr">
        <is>
          <t>Prozessvariante</t>
        </is>
      </c>
      <c r="B4" s="4" t="inlineStr">
        <is>
          <t>customfield_process_type</t>
        </is>
      </c>
      <c r="C4" s="5" t="inlineStr">
        <is>
          <t>Fall B: Betroffene bekannt</t>
        </is>
      </c>
      <c r="D4" s="4" t="inlineStr">
        <is>
          <t>Fall A (Betroffene unbekannt / Generisch) oder Fall B (Betroffene bekannt)</t>
        </is>
      </c>
    </row>
    <row r="5">
      <c r="A5" s="6" t="inlineStr">
        <is>
          <t>Change-Titel (Epic Summary)</t>
        </is>
      </c>
      <c r="B5" s="7" t="inlineStr">
        <is>
          <t>summary</t>
        </is>
      </c>
      <c r="C5" s="5" t="inlineStr">
        <is>
          <t>[INFRA-CHANGE] Migration Core-Firewall &amp; Subnetz-Routing Q4</t>
        </is>
      </c>
      <c r="D5" s="7" t="inlineStr">
        <is>
          <t>Prägnanter Titel des Infrastruktur-Vorhabens</t>
        </is>
      </c>
    </row>
    <row r="6">
      <c r="A6" s="3" t="inlineStr">
        <is>
          <t>Ziel-Jira-Projekt (Master)</t>
        </is>
      </c>
      <c r="B6" s="4" t="inlineStr">
        <is>
          <t>project.key</t>
        </is>
      </c>
      <c r="C6" s="5" t="inlineStr">
        <is>
          <t>INFRARCH</t>
        </is>
      </c>
      <c r="D6" s="4" t="inlineStr">
        <is>
          <t>Zentrales Projekt der Infrastrukturarchitektur (Fallback &amp; Master)</t>
        </is>
      </c>
    </row>
    <row r="7">
      <c r="A7" s="6" t="inlineStr">
        <is>
          <t>Change-ID / ServiceNow-Ref</t>
        </is>
      </c>
      <c r="B7" s="7" t="inlineStr">
        <is>
          <t>customfield_change_id</t>
        </is>
      </c>
      <c r="C7" s="5" t="inlineStr">
        <is>
          <t>CHG-2026-8841</t>
        </is>
      </c>
      <c r="D7" s="7" t="inlineStr">
        <is>
          <t>Eindeutige Referenznummer aus dem Change-Management</t>
        </is>
      </c>
    </row>
    <row r="8">
      <c r="A8" s="3" t="inlineStr">
        <is>
          <t>Infrastruktur-Domäne</t>
        </is>
      </c>
      <c r="B8" s="4" t="inlineStr">
        <is>
          <t>components</t>
        </is>
      </c>
      <c r="C8" s="5" t="inlineStr">
        <is>
          <t>Netzwerk / Firewall</t>
        </is>
      </c>
      <c r="D8" s="4" t="inlineStr">
        <is>
          <t>z. B. DNS, Netzwerk / Firewall, OS / Server, Datenbank, Zertifikate, Cloud</t>
        </is>
      </c>
    </row>
    <row r="9">
      <c r="A9" s="6" t="inlineStr">
        <is>
          <t>Umgebung(en)</t>
        </is>
      </c>
      <c r="B9" s="7" t="inlineStr">
        <is>
          <t>customfield_environment</t>
        </is>
      </c>
      <c r="C9" s="5" t="inlineStr">
        <is>
          <t>PROD, STAGE</t>
        </is>
      </c>
      <c r="D9" s="7" t="inlineStr">
        <is>
          <t>Betroffene Stages (DEV, TEST, STAGE, PROD)</t>
        </is>
      </c>
    </row>
    <row r="10">
      <c r="A10" s="3" t="inlineStr">
        <is>
          <t>Geplantes Change-Fenster</t>
        </is>
      </c>
      <c r="B10" s="4" t="inlineStr">
        <is>
          <t>customfield_change_window</t>
        </is>
      </c>
      <c r="C10" s="5" t="inlineStr">
        <is>
          <t>2026-11-28 22:00 bis 2026-11-29 06:00</t>
        </is>
      </c>
      <c r="D10" s="4" t="inlineStr">
        <is>
          <t>Zeitraum der technischen Durchführung</t>
        </is>
      </c>
    </row>
    <row r="11">
      <c r="A11" s="6" t="inlineStr">
        <is>
          <t>Rückmelde-Deadline (SLA)</t>
        </is>
      </c>
      <c r="B11" s="7" t="inlineStr">
        <is>
          <t>duedate</t>
        </is>
      </c>
      <c r="C11" s="5" t="inlineStr">
        <is>
          <t>2026-11-15</t>
        </is>
      </c>
      <c r="D11" s="7" t="inlineStr">
        <is>
          <t>Frist für Impact-Bewertung / Selbstidentifikation durch Produktteams</t>
        </is>
      </c>
    </row>
    <row r="12">
      <c r="A12" s="3" t="inlineStr">
        <is>
          <t>Risikoklasse</t>
        </is>
      </c>
      <c r="B12" s="4" t="inlineStr">
        <is>
          <t>customfield_risk</t>
        </is>
      </c>
      <c r="C12" s="5" t="inlineStr">
        <is>
          <t>Hoch</t>
        </is>
      </c>
      <c r="D12" s="4" t="inlineStr">
        <is>
          <t>Initiale Risikoeinschätzung durch Infrastrukturarchitektur (Niedrig, Mittel, Hoch, Kritisch)</t>
        </is>
      </c>
    </row>
    <row r="13">
      <c r="A13" s="6" t="inlineStr">
        <is>
          <t>Testanforderung</t>
        </is>
      </c>
      <c r="B13" s="7" t="inlineStr">
        <is>
          <t>customfield_test_req</t>
        </is>
      </c>
      <c r="C13" s="5" t="inlineStr">
        <is>
          <t>Verpflichtend (Smoke-Test nach Umstellung)</t>
        </is>
      </c>
      <c r="D13" s="7" t="inlineStr">
        <is>
          <t>Art der geforderten Abnahme durch die Anwendungs-Verantwortlichen</t>
        </is>
      </c>
    </row>
    <row r="14">
      <c r="A14" s="3" t="inlineStr">
        <is>
          <t>Infrastruktur-Owner (Tech Lead)</t>
        </is>
      </c>
      <c r="B14" s="4" t="inlineStr">
        <is>
          <t>reporter</t>
        </is>
      </c>
      <c r="C14" s="5" t="inlineStr">
        <is>
          <t>david.geisberger</t>
        </is>
      </c>
      <c r="D14" s="4" t="inlineStr">
        <is>
          <t>Technischer Ansprechpartner für Rückfragen</t>
        </is>
      </c>
    </row>
    <row r="15">
      <c r="A15" s="6" t="inlineStr">
        <is>
          <t>Kurzbeschreibung &amp; Hintergrund</t>
        </is>
      </c>
      <c r="B15" s="7" t="inlineStr">
        <is>
          <t>description</t>
        </is>
      </c>
      <c r="C15" s="5" t="inlineStr">
        <is>
          <t>Ablösung der Legacy-Firewall-Cluster im RZ München. Anpassung von statischen Routen und IP-Whitelists erforderlich.</t>
        </is>
      </c>
      <c r="D15" s="7" t="inlineStr">
        <is>
          <t>Wird automatisch in die Beschreibung des Epics und aller Child-Issues übernommen.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8" customWidth="1" min="4" max="4"/>
    <col width="18" customWidth="1" min="5" max="5"/>
    <col width="12" customWidth="1" min="6" max="6"/>
    <col width="26" customWidth="1" min="7" max="7"/>
    <col width="14" customWidth="1" min="8" max="8"/>
    <col width="34" customWidth="1" min="9" max="9"/>
    <col width="18" customWidth="1" min="10" max="10"/>
    <col width="28" customWidth="1" min="11" max="11"/>
    <col width="18" customWidth="1" min="12" max="12"/>
    <col width="16" customWidth="1" min="13" max="13"/>
    <col width="18" customWidth="1" min="14" max="14"/>
    <col width="42" customWidth="1" min="15" max="15"/>
    <col width="26" customWidth="1" min="16" max="16"/>
  </cols>
  <sheetData>
    <row r="1">
      <c r="A1" s="1" t="inlineStr">
        <is>
          <t>Massenticket-Erzeugung (Child-Issues je Anwendung / KVKID)</t>
        </is>
      </c>
    </row>
    <row r="2">
      <c r="A2" s="8" t="inlineStr">
        <is>
          <t>Hinweis: Hat ein Produkt kein eigenes Jira-Projekt oder ist die Betroffenheit unklar, wird 'INFRARCH' als Ziel-Projekt gesetzt (Routing über Sammelprojekt + E-Mail-Benachrichtigung).</t>
        </is>
      </c>
    </row>
    <row r="3">
      <c r="A3" s="9" t="inlineStr">
        <is>
          <t>Lfd_Nr</t>
        </is>
      </c>
      <c r="B3" s="9" t="inlineStr">
        <is>
          <t>Szenario_Typ</t>
        </is>
      </c>
      <c r="C3" s="9" t="inlineStr">
        <is>
          <t>KVKID_Service_ID</t>
        </is>
      </c>
      <c r="D3" s="9" t="inlineStr">
        <is>
          <t>Anwendungsname</t>
        </is>
      </c>
      <c r="E3" s="9" t="inlineStr">
        <is>
          <t>Ziel_Jira_Projekt</t>
        </is>
      </c>
      <c r="F3" s="9" t="inlineStr">
        <is>
          <t>Issue_Type</t>
        </is>
      </c>
      <c r="G3" s="9" t="inlineStr">
        <is>
          <t>Betroffenheit_Klarheit</t>
        </is>
      </c>
      <c r="H3" s="9" t="inlineStr">
        <is>
          <t>Umgebung</t>
        </is>
      </c>
      <c r="I3" s="9" t="inlineStr">
        <is>
          <t>Betroffene_Objekte_Hosts_IPs</t>
        </is>
      </c>
      <c r="J3" s="9" t="inlineStr">
        <is>
          <t>PO_SO_Assignee</t>
        </is>
      </c>
      <c r="K3" s="9" t="inlineStr">
        <is>
          <t>Kontakt_Email</t>
        </is>
      </c>
      <c r="L3" s="9" t="inlineStr">
        <is>
          <t>Risiko_Einschaetzung</t>
        </is>
      </c>
      <c r="M3" s="9" t="inlineStr">
        <is>
          <t>Rueckmelde_Frist</t>
        </is>
      </c>
      <c r="N3" s="9" t="inlineStr">
        <is>
          <t>Change_Fenster</t>
        </is>
      </c>
      <c r="O3" s="9" t="inlineStr">
        <is>
          <t>Spezifische_Handlungsanweisung</t>
        </is>
      </c>
      <c r="P3" s="9" t="inlineStr">
        <is>
          <t>Idempotenz_Schluessel_Hash</t>
        </is>
      </c>
    </row>
    <row r="4">
      <c r="A4" s="4" t="n">
        <v>1</v>
      </c>
      <c r="B4" s="4" t="inlineStr">
        <is>
          <t>Fall B: Eigenes Jira-Projekt</t>
        </is>
      </c>
      <c r="C4" s="4" t="inlineStr">
        <is>
          <t>KVK-1042</t>
        </is>
      </c>
      <c r="D4" s="4" t="inlineStr">
        <is>
          <t>Bestandsführung Leben (Core)</t>
        </is>
      </c>
      <c r="E4" s="4" t="inlineStr">
        <is>
          <t>BESTAND</t>
        </is>
      </c>
      <c r="F4" s="4" t="inlineStr">
        <is>
          <t>Task</t>
        </is>
      </c>
      <c r="G4" s="4" t="inlineStr">
        <is>
          <t>Gesichert betroffen</t>
        </is>
      </c>
      <c r="H4" s="4" t="inlineStr">
        <is>
          <t>PROD</t>
        </is>
      </c>
      <c r="I4" s="4" t="inlineStr">
        <is>
          <t>srv-lv-prod01 (10.20.4.12), fw-rule-882</t>
        </is>
      </c>
      <c r="J4" s="4" t="inlineStr">
        <is>
          <t>mueller.stefan</t>
        </is>
      </c>
      <c r="K4" s="4" t="inlineStr">
        <is>
          <t>stefan.mueller@vkb.example.com</t>
        </is>
      </c>
      <c r="L4" s="4" t="inlineStr">
        <is>
          <t>Hoch</t>
        </is>
      </c>
      <c r="M4" s="4" t="inlineStr">
        <is>
          <t>2026-11-15</t>
        </is>
      </c>
      <c r="N4" s="4" t="inlineStr">
        <is>
          <t>2026-11-28 22:00</t>
        </is>
      </c>
      <c r="O4" s="4" t="inlineStr">
        <is>
          <t>Prüfung der Firewall-Freischaltung und Durchführung Smoke-Test am 29.11. ab 06:00 Uhr.</t>
        </is>
      </c>
      <c r="P4" s="4">
        <f>C4&amp;"_"&amp;E4&amp;"_"&amp;H4</f>
        <v/>
      </c>
    </row>
    <row r="5">
      <c r="A5" s="7" t="n">
        <v>2</v>
      </c>
      <c r="B5" s="7" t="inlineStr">
        <is>
          <t>Fall B: Kein eigenes Jira-Projekt (Fallback)</t>
        </is>
      </c>
      <c r="C5" s="7" t="inlineStr">
        <is>
          <t>KVK-2089</t>
        </is>
      </c>
      <c r="D5" s="7" t="inlineStr">
        <is>
          <t>Archiv-Connector Legacy</t>
        </is>
      </c>
      <c r="E5" s="10" t="inlineStr">
        <is>
          <t>INFRARCH</t>
        </is>
      </c>
      <c r="F5" s="7" t="inlineStr">
        <is>
          <t>Task</t>
        </is>
      </c>
      <c r="G5" s="7" t="inlineStr">
        <is>
          <t>Gesichert betroffen</t>
        </is>
      </c>
      <c r="H5" s="7" t="inlineStr">
        <is>
          <t>PROD</t>
        </is>
      </c>
      <c r="I5" s="7" t="inlineStr">
        <is>
          <t>srv-arch-p02 (10.20.9.44), NAT-Pool-B</t>
        </is>
      </c>
      <c r="J5" s="7" t="inlineStr">
        <is>
          <t>schmidt.andreas</t>
        </is>
      </c>
      <c r="K5" s="7" t="inlineStr">
        <is>
          <t>andreas.schmidt@vkb.example.com</t>
        </is>
      </c>
      <c r="L5" s="7" t="inlineStr">
        <is>
          <t>Mittel</t>
        </is>
      </c>
      <c r="M5" s="7" t="inlineStr">
        <is>
          <t>2026-11-15</t>
        </is>
      </c>
      <c r="N5" s="7" t="inlineStr">
        <is>
          <t>2026-11-28 22:00</t>
        </is>
      </c>
      <c r="O5" s="7" t="inlineStr">
        <is>
          <t>Da kein eigenes Jira-Projekt existiert, erfolgt die Nachverfolgung im zentralen INFRARCH-Projekt. Bitte Status direkt hier kommentieren.</t>
        </is>
      </c>
      <c r="P5" s="7">
        <f>C5&amp;"_"&amp;E5&amp;"_"&amp;H5</f>
        <v/>
      </c>
    </row>
    <row r="6">
      <c r="A6" s="4" t="n">
        <v>3</v>
      </c>
      <c r="B6" s="4" t="inlineStr">
        <is>
          <t>Fall A/B Hybrid: Unklare Betroffenheit (Triage)</t>
        </is>
      </c>
      <c r="C6" s="4" t="inlineStr">
        <is>
          <t>KVK-3310</t>
        </is>
      </c>
      <c r="D6" s="4" t="inlineStr">
        <is>
          <t>Partner-Portal &amp; Makler-API</t>
        </is>
      </c>
      <c r="E6" s="10" t="inlineStr">
        <is>
          <t>INFRARCH</t>
        </is>
      </c>
      <c r="F6" s="4" t="inlineStr">
        <is>
          <t>Task</t>
        </is>
      </c>
      <c r="G6" s="4" t="inlineStr">
        <is>
          <t>Unklar - Prüfung erforderlich</t>
        </is>
      </c>
      <c r="H6" s="4" t="inlineStr">
        <is>
          <t>PROD, STAGE</t>
        </is>
      </c>
      <c r="I6" s="4" t="inlineStr">
        <is>
          <t>Subnetz 10.24.0.0/16, DNS-Zone makler.intern</t>
        </is>
      </c>
      <c r="J6" s="4" t="inlineStr">
        <is>
          <t>weber.christian</t>
        </is>
      </c>
      <c r="K6" s="4" t="inlineStr">
        <is>
          <t>christian.weber@vkb.example.com</t>
        </is>
      </c>
      <c r="L6" s="4" t="inlineStr">
        <is>
          <t>Hoch</t>
        </is>
      </c>
      <c r="M6" s="4" t="inlineStr">
        <is>
          <t>2026-11-10</t>
        </is>
      </c>
      <c r="N6" s="4" t="inlineStr">
        <is>
          <t>2026-11-28 22:00</t>
        </is>
      </c>
      <c r="O6" s="4" t="inlineStr">
        <is>
          <t>Laut CMDB-Scan bestehen potenzielle Abhängigkeiten zum Subnetz. Bitte bis Frist prüfen, ob statische IPs hinterlegt sind.</t>
        </is>
      </c>
      <c r="P6" s="4">
        <f>C6&amp;"_"&amp;E6&amp;"_"&amp;H6</f>
        <v/>
      </c>
    </row>
    <row r="7">
      <c r="A7" s="7" t="n">
        <v>4</v>
      </c>
      <c r="B7" s="7" t="inlineStr">
        <is>
          <t>Fall B: Eigenes Jira-Projekt</t>
        </is>
      </c>
      <c r="C7" s="7" t="inlineStr">
        <is>
          <t>KVK-4105</t>
        </is>
      </c>
      <c r="D7" s="7" t="inlineStr">
        <is>
          <t>Schaden-Management Portal</t>
        </is>
      </c>
      <c r="E7" s="7" t="inlineStr">
        <is>
          <t>SCHADEN</t>
        </is>
      </c>
      <c r="F7" s="7" t="inlineStr">
        <is>
          <t>Task</t>
        </is>
      </c>
      <c r="G7" s="7" t="inlineStr">
        <is>
          <t>Gesichert betroffen</t>
        </is>
      </c>
      <c r="H7" s="7" t="inlineStr">
        <is>
          <t>PROD</t>
        </is>
      </c>
      <c r="I7" s="7" t="inlineStr">
        <is>
          <t>srv-clm-p01 (10.20.5.19), fw-rule-901</t>
        </is>
      </c>
      <c r="J7" s="7" t="inlineStr">
        <is>
          <t>braun.leonie</t>
        </is>
      </c>
      <c r="K7" s="7" t="inlineStr">
        <is>
          <t>leonie.braun@vkb.example.com</t>
        </is>
      </c>
      <c r="L7" s="7" t="inlineStr">
        <is>
          <t>Mittel</t>
        </is>
      </c>
      <c r="M7" s="7" t="inlineStr">
        <is>
          <t>2026-11-15</t>
        </is>
      </c>
      <c r="N7" s="7" t="inlineStr">
        <is>
          <t>2026-11-28 22:00</t>
        </is>
      </c>
      <c r="O7" s="7" t="inlineStr">
        <is>
          <t>Verbindungstest zu externem Gutachter-Gateway im Wartungsfenster validieren.</t>
        </is>
      </c>
      <c r="P7" s="7">
        <f>C7&amp;"_"&amp;E7&amp;"_"&amp;H7</f>
        <v/>
      </c>
    </row>
    <row r="8">
      <c r="A8" s="4" t="n">
        <v>5</v>
      </c>
      <c r="B8" s="4" t="inlineStr">
        <is>
          <t>Fall A: Generischer Dienst (Self-Identify)</t>
        </is>
      </c>
      <c r="C8" s="4" t="inlineStr">
        <is>
          <t>KVK-0000</t>
        </is>
      </c>
      <c r="D8" s="4" t="inlineStr">
        <is>
          <t>Sammel-Ticket Selbstidentifikation DNS/Netz</t>
        </is>
      </c>
      <c r="E8" s="10" t="inlineStr">
        <is>
          <t>INFRARCH</t>
        </is>
      </c>
      <c r="F8" s="4" t="inlineStr">
        <is>
          <t>Task</t>
        </is>
      </c>
      <c r="G8" s="4" t="inlineStr">
        <is>
          <t>Selbstidentifikation (Fall A)</t>
        </is>
      </c>
      <c r="H8" s="4" t="inlineStr">
        <is>
          <t>ALLE</t>
        </is>
      </c>
      <c r="I8" s="4" t="inlineStr">
        <is>
          <t>Zentrale DNS-Resolver (10.10.1.53, 10.10.2.53)</t>
        </is>
      </c>
      <c r="J8" s="4" t="inlineStr">
        <is>
          <t>geisberger.david</t>
        </is>
      </c>
      <c r="K8" s="4" t="inlineStr">
        <is>
          <t>infra-architektur@vkb.example.com</t>
        </is>
      </c>
      <c r="L8" s="4" t="inlineStr">
        <is>
          <t>Niedrig</t>
        </is>
      </c>
      <c r="M8" s="4" t="inlineStr">
        <is>
          <t>2026-11-12</t>
        </is>
      </c>
      <c r="N8" s="4" t="inlineStr">
        <is>
          <t>2026-11-28 22:00</t>
        </is>
      </c>
      <c r="O8" s="4" t="inlineStr">
        <is>
          <t>Sammelticket für Rückmeldungen aus Community-Post &amp; Rundmail für nicht in der CMDB erfasste Altsysteme.</t>
        </is>
      </c>
      <c r="P8" s="4">
        <f>C8&amp;"_"&amp;E8&amp;"_"&amp;H8</f>
        <v/>
      </c>
    </row>
  </sheetData>
  <mergeCells count="2">
    <mergeCell ref="A2:N2"/>
    <mergeCell ref="A1:N1"/>
  </mergeCells>
  <dataValidations count="2">
    <dataValidation sqref="G4:G100" showDropDown="0" showInputMessage="0" showErrorMessage="0" allowBlank="0" type="list">
      <formula1>"Gesichert betroffen,Unklar - Prüfung erforderlich,Selbstidentifikation (Fall A)"</formula1>
    </dataValidation>
    <dataValidation sqref="L4:L100" showDropDown="0" showInputMessage="0" showErrorMessage="0" allowBlank="0" type="list">
      <formula1>"Niedrig,Mittel,Hoch,Kritisch"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58" customWidth="1" min="3" max="3"/>
  </cols>
  <sheetData>
    <row r="1">
      <c r="A1" s="1" t="inlineStr">
        <is>
          <t>Auswertung &amp; PoC-Mengengerüst (Automatische Berechnung)</t>
        </is>
      </c>
    </row>
    <row r="3">
      <c r="A3" s="11" t="inlineStr">
        <is>
          <t>Kategorie / Metrik</t>
        </is>
      </c>
      <c r="B3" s="11" t="inlineStr">
        <is>
          <t>Anzahl Tickets</t>
        </is>
      </c>
      <c r="C3" s="11" t="inlineStr">
        <is>
          <t>Bedeutung für das Verfahren</t>
        </is>
      </c>
    </row>
    <row r="4">
      <c r="A4" s="12" t="inlineStr">
        <is>
          <t>Gesamtanzahl Child-Issues im Lauf</t>
        </is>
      </c>
      <c r="B4" s="13">
        <f>COUNTA('2_Bulk_Issues_Daten'!C4:C50)</f>
        <v/>
      </c>
      <c r="C4" s="14" t="inlineStr">
        <is>
          <t>Alle zu erzeugenden Aufgaben unterhalb des Master-Epics</t>
        </is>
      </c>
    </row>
    <row r="5">
      <c r="A5" s="15" t="inlineStr">
        <is>
          <t>Direkt in Produkt-Jira-Projekten</t>
        </is>
      </c>
      <c r="B5" s="16">
        <f>COUNTIF('2_Bulk_Issues_Daten'!E4:E50, "&lt;&gt;INFRARCH")-COUNTBLANK('2_Bulk_Issues_Daten'!E4:E50)</f>
        <v/>
      </c>
      <c r="C5" s="17" t="inlineStr">
        <is>
          <t>Produkte mit eigenem Jira-Projekt (Cross-Project Epic Link)</t>
        </is>
      </c>
    </row>
    <row r="6">
      <c r="A6" s="12" t="inlineStr">
        <is>
          <t>Im zentralen Sammelprojekt (INFRARCH)</t>
        </is>
      </c>
      <c r="B6" s="13">
        <f>COUNTIF('2_Bulk_Issues_Daten'!E4:E50, "INFRARCH")</f>
        <v/>
      </c>
      <c r="C6" s="14" t="inlineStr">
        <is>
          <t>Produkte ohne eigenes Jira oder unklare Betroffenheit (Fallback)</t>
        </is>
      </c>
    </row>
    <row r="7">
      <c r="A7" s="15" t="inlineStr">
        <is>
          <t>Risikoeinstufung 'Hoch' oder 'Kritisch'</t>
        </is>
      </c>
      <c r="B7" s="16">
        <f>COUNTIF('2_Bulk_Issues_Daten'!L4:L50, "Hoch")+COUNTIF('2_Bulk_Issues_Daten'!L4:L50, "Kritisch")</f>
        <v/>
      </c>
      <c r="C7" s="17" t="inlineStr">
        <is>
          <t>Priorisierte Nachverfolgung und engmaschige Eskalation</t>
        </is>
      </c>
    </row>
    <row r="8">
      <c r="A8" s="12" t="inlineStr">
        <is>
          <t>Unklare Betroffenheit (Triage nötig)</t>
        </is>
      </c>
      <c r="B8" s="13">
        <f>COUNTIF('2_Bulk_Issues_Daten'!G4:G50, "Unklar - Prüfung erforderlich")</f>
        <v/>
      </c>
      <c r="C8" s="14" t="inlineStr">
        <is>
          <t>Manuelle Nachsteuerung / Klärungsbedarf durch SO/PO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8" customWidth="1" min="4" max="4"/>
    <col width="30" customWidth="1" min="5" max="5"/>
    <col width="42" customWidth="1" min="6" max="6"/>
  </cols>
  <sheetData>
    <row r="1">
      <c r="A1" s="1" t="inlineStr">
        <is>
          <t>Datenmodell: Pflicht- und Optionalfelder je Template</t>
        </is>
      </c>
    </row>
    <row r="3">
      <c r="A3" s="11" t="inlineStr">
        <is>
          <t>Feldname</t>
        </is>
      </c>
      <c r="B3" s="11" t="inlineStr">
        <is>
          <t>Pflicht / Optional</t>
        </is>
      </c>
      <c r="C3" s="11" t="inlineStr">
        <is>
          <t>Typ in Jira</t>
        </is>
      </c>
      <c r="D3" s="11" t="inlineStr">
        <is>
          <t>Verwendung in Fall A</t>
        </is>
      </c>
      <c r="E3" s="11" t="inlineStr">
        <is>
          <t>Verwendung in Fall B</t>
        </is>
      </c>
      <c r="F3" s="11" t="inlineStr">
        <is>
          <t>Validierungsregel / Standardwert</t>
        </is>
      </c>
    </row>
    <row r="4">
      <c r="A4" s="12" t="inlineStr">
        <is>
          <t>Summary (Titel)</t>
        </is>
      </c>
      <c r="B4" s="12" t="inlineStr">
        <is>
          <t>Pflicht</t>
        </is>
      </c>
      <c r="C4" s="14" t="inlineStr">
        <is>
          <t>Text (System)</t>
        </is>
      </c>
      <c r="D4" s="14" t="inlineStr">
        <is>
          <t>Präfix [INFRA-A] + Dienst</t>
        </is>
      </c>
      <c r="E4" s="14" t="inlineStr">
        <is>
          <t>Präfix [INFRA-B] + KVKID + Produkt</t>
        </is>
      </c>
      <c r="F4" s="14" t="inlineStr">
        <is>
          <t>Darf nicht leer sein; max. 255 Zeichen</t>
        </is>
      </c>
    </row>
    <row r="5">
      <c r="A5" s="15" t="inlineStr">
        <is>
          <t>KVKID / Service-ID</t>
        </is>
      </c>
      <c r="B5" s="15" t="inlineStr">
        <is>
          <t>Pflicht (Fall B)</t>
        </is>
      </c>
      <c r="C5" s="17" t="inlineStr">
        <is>
          <t>Custom Field (Select/Text)</t>
        </is>
      </c>
      <c r="D5" s="17" t="inlineStr">
        <is>
          <t>Optional ('GENERIC' initial)</t>
        </is>
      </c>
      <c r="E5" s="17" t="inlineStr">
        <is>
          <t>Pflicht (z. B. KVK-1042)</t>
        </is>
      </c>
      <c r="F5" s="17" t="inlineStr">
        <is>
          <t>Format: KVK-XXXX; Validierung gegen CMDB</t>
        </is>
      </c>
    </row>
    <row r="6">
      <c r="A6" s="12" t="inlineStr">
        <is>
          <t>Ziel-Jira-Projekt</t>
        </is>
      </c>
      <c r="B6" s="12" t="inlineStr">
        <is>
          <t>Pflicht</t>
        </is>
      </c>
      <c r="C6" s="14" t="inlineStr">
        <is>
          <t>Project Key</t>
        </is>
      </c>
      <c r="D6" s="14" t="inlineStr">
        <is>
          <t>Immer 'INFRARCH'</t>
        </is>
      </c>
      <c r="E6" s="14" t="inlineStr">
        <is>
          <t>Produkt-Key oder Fallback 'INFRARCH'</t>
        </is>
      </c>
      <c r="F6" s="14" t="inlineStr">
        <is>
          <t>Prüfung via REST API ob Projekt existiert, sonst INFRARCH</t>
        </is>
      </c>
    </row>
    <row r="7">
      <c r="A7" s="15" t="inlineStr">
        <is>
          <t>Betroffenheit / Klarheit</t>
        </is>
      </c>
      <c r="B7" s="15" t="inlineStr">
        <is>
          <t>Pflicht</t>
        </is>
      </c>
      <c r="C7" s="17" t="inlineStr">
        <is>
          <t>Custom Field / Label</t>
        </is>
      </c>
      <c r="D7" s="17" t="inlineStr">
        <is>
          <t>Selbstidentifikation</t>
        </is>
      </c>
      <c r="E7" s="17" t="inlineStr">
        <is>
          <t>Gesichert / Unklar (Triage)</t>
        </is>
      </c>
      <c r="F7" s="17" t="inlineStr">
        <is>
          <t>Steuert JQL-Filter und Reminder-Regeln</t>
        </is>
      </c>
    </row>
    <row r="8">
      <c r="A8" s="12" t="inlineStr">
        <is>
          <t>Umgebung (Stage)</t>
        </is>
      </c>
      <c r="B8" s="12" t="inlineStr">
        <is>
          <t>Pflicht</t>
        </is>
      </c>
      <c r="C8" s="14" t="inlineStr">
        <is>
          <t>Multi-Select</t>
        </is>
      </c>
      <c r="D8" s="14" t="inlineStr">
        <is>
          <t>PROD / STAGE / TEST / DEV</t>
        </is>
      </c>
      <c r="E8" s="14" t="inlineStr">
        <is>
          <t>PROD / STAGE / TEST / DEV</t>
        </is>
      </c>
      <c r="F8" s="14" t="inlineStr">
        <is>
          <t>Mindestens eine Umgebung muss gewählt sein</t>
        </is>
      </c>
    </row>
    <row r="9">
      <c r="A9" s="15" t="inlineStr">
        <is>
          <t>Betroffene Objekte</t>
        </is>
      </c>
      <c r="B9" s="15" t="inlineStr">
        <is>
          <t>Pflicht (Fall B)</t>
        </is>
      </c>
      <c r="C9" s="17" t="inlineStr">
        <is>
          <t>Text Area / Tabelle</t>
        </is>
      </c>
      <c r="D9" s="17" t="inlineStr">
        <is>
          <t>Allgemeine Netz-/DNS-Zonen</t>
        </is>
      </c>
      <c r="E9" s="17" t="inlineStr">
        <is>
          <t>Konkrete Hostnamen, IPs, FW-Rules</t>
        </is>
      </c>
      <c r="F9" s="17" t="inlineStr">
        <is>
          <t>Wird im Ticket-Body als Code-/Tabellenblock gerendert</t>
        </is>
      </c>
    </row>
    <row r="10">
      <c r="A10" s="12" t="inlineStr">
        <is>
          <t>Change-Fenster</t>
        </is>
      </c>
      <c r="B10" s="12" t="inlineStr">
        <is>
          <t>Pflicht</t>
        </is>
      </c>
      <c r="C10" s="14" t="inlineStr">
        <is>
          <t>Date-Time Range</t>
        </is>
      </c>
      <c r="D10" s="14" t="inlineStr">
        <is>
          <t>Durchführungszeitraum</t>
        </is>
      </c>
      <c r="E10" s="14" t="inlineStr">
        <is>
          <t>Durchführungszeitraum</t>
        </is>
      </c>
      <c r="F10" s="14" t="inlineStr">
        <is>
          <t>Start- und Endzeitpunkt im ISO-Format</t>
        </is>
      </c>
    </row>
    <row r="11">
      <c r="A11" s="15" t="inlineStr">
        <is>
          <t>Rückmelde-Deadline</t>
        </is>
      </c>
      <c r="B11" s="15" t="inlineStr">
        <is>
          <t>Pflicht</t>
        </is>
      </c>
      <c r="C11" s="17" t="inlineStr">
        <is>
          <t>Due Date (System)</t>
        </is>
      </c>
      <c r="D11" s="17" t="inlineStr">
        <is>
          <t>Frist für Self-Identify</t>
        </is>
      </c>
      <c r="E11" s="17" t="inlineStr">
        <is>
          <t>Frist für Impact-Bewertung / Test</t>
        </is>
      </c>
      <c r="F11" s="17" t="inlineStr">
        <is>
          <t>Muss vor dem Change-Fenster liegen</t>
        </is>
      </c>
    </row>
    <row r="12">
      <c r="A12" s="12" t="inlineStr">
        <is>
          <t>Standard-Labels</t>
        </is>
      </c>
      <c r="B12" s="12" t="inlineStr">
        <is>
          <t>Pflicht (Auto)</t>
        </is>
      </c>
      <c r="C12" s="14" t="inlineStr">
        <is>
          <t>Labels (System)</t>
        </is>
      </c>
      <c r="D12" s="14" t="inlineStr">
        <is>
          <t>infra-change, fall-a, self-id</t>
        </is>
      </c>
      <c r="E12" s="14" t="inlineStr">
        <is>
          <t>infra-change, fall-b, &lt;kvkid&gt;</t>
        </is>
      </c>
      <c r="F12" s="14" t="inlineStr">
        <is>
          <t>Wird automatisch vom Bulk-Skript gesetzt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2026-10-29T08:43:14Z</dcterms:created>
  <dcterms:modified xmlns:dcterms="http://purl.org/dc/terms/" xmlns:xsi="http://www.w3.org/2001/XMLSchema-instance" xsi:type="dcterms:W3CDTF">2026-10-29T08:43:14Z</dcterms:modified>
</cp:coreProperties>
</file>